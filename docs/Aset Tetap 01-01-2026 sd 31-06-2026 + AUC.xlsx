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ram/Downloads/"/>
    </mc:Choice>
  </mc:AlternateContent>
  <xr:revisionPtr revIDLastSave="0" documentId="8_{24B48CDC-CF21-B049-B309-6AD2F1AEA9D1}" xr6:coauthVersionLast="47" xr6:coauthVersionMax="47" xr10:uidLastSave="{00000000-0000-0000-0000-000000000000}"/>
  <bookViews>
    <workbookView xWindow="0" yWindow="660" windowWidth="30240" windowHeight="18980" xr2:uid="{6FB94978-468A-4D02-998F-ECB953E3029D}"/>
  </bookViews>
  <sheets>
    <sheet name="Sheet1" sheetId="1" r:id="rId1"/>
  </sheets>
  <definedNames>
    <definedName name="_xlnm.Print_Area" localSheetId="0">Sheet1!$A$1:$S$24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" i="1" l="1"/>
  <c r="L50" i="1"/>
  <c r="N42" i="1" l="1"/>
  <c r="N50" i="1" s="1"/>
</calcChain>
</file>

<file path=xl/sharedStrings.xml><?xml version="1.0" encoding="utf-8"?>
<sst xmlns="http://schemas.openxmlformats.org/spreadsheetml/2006/main" count="378" uniqueCount="176">
  <si>
    <t>LAPORAN AKTIVA TETAP PT DAHANA</t>
  </si>
  <si>
    <t>No</t>
  </si>
  <si>
    <t>Sub number</t>
  </si>
  <si>
    <t>Capitalized on</t>
  </si>
  <si>
    <t>Asset description</t>
  </si>
  <si>
    <t>Acquis.val.</t>
  </si>
  <si>
    <t>Accum.dep.</t>
  </si>
  <si>
    <t>Book val.</t>
  </si>
  <si>
    <t>Currency</t>
  </si>
  <si>
    <t>Location</t>
  </si>
  <si>
    <t>Room</t>
  </si>
  <si>
    <t>IDR</t>
  </si>
  <si>
    <t>Subang</t>
  </si>
  <si>
    <t>Keterangan</t>
  </si>
  <si>
    <t>Category</t>
  </si>
  <si>
    <t>Instalasi Komunikasi</t>
  </si>
  <si>
    <t>Alat &amp; Perlengkapan</t>
  </si>
  <si>
    <t>Harta Tak Berwujud</t>
  </si>
  <si>
    <t>Data Center</t>
  </si>
  <si>
    <t>PowerEdge R760XS (Rack)</t>
  </si>
  <si>
    <t>1700001142</t>
  </si>
  <si>
    <t>Blasting Monitor Micromate</t>
  </si>
  <si>
    <t>Site Maruwai</t>
  </si>
  <si>
    <t>Katingan Tengah</t>
  </si>
  <si>
    <t>1300000176</t>
  </si>
  <si>
    <t>1102</t>
  </si>
  <si>
    <t>2000000042</t>
  </si>
  <si>
    <t>2000000046</t>
  </si>
  <si>
    <t>Microsoft Windows CSP</t>
  </si>
  <si>
    <t>Aplikasi E-Manrisk</t>
  </si>
  <si>
    <t>Manrisk</t>
  </si>
  <si>
    <t>Site PTK</t>
  </si>
  <si>
    <t>Tanah Bumbu</t>
  </si>
  <si>
    <t>Blasting Monitor Micromate + Software</t>
  </si>
  <si>
    <t>1500000350</t>
  </si>
  <si>
    <t>Mesin</t>
  </si>
  <si>
    <t>Furukawa Rock Drill (FRD) HCR L100-L3</t>
  </si>
  <si>
    <t>site PTK</t>
  </si>
  <si>
    <t>No PO</t>
  </si>
  <si>
    <t>Tanggal PO</t>
  </si>
  <si>
    <t>Stabilizer Samoto Type SBW-200KVA Pabrik CE Plant1</t>
  </si>
  <si>
    <t>Instalasi Listrik</t>
  </si>
  <si>
    <t>Pabrik CE Plant-1</t>
  </si>
  <si>
    <t>Pabrik CE Plant-2</t>
  </si>
  <si>
    <t>Controller Radio Remote Control System Schedule</t>
  </si>
  <si>
    <t>High Energy Remote Radio Remote Control System</t>
  </si>
  <si>
    <t>Jakarta</t>
  </si>
  <si>
    <t>Mobile Site DKK</t>
  </si>
  <si>
    <t>No Asset</t>
  </si>
  <si>
    <t>Server PowerEdge R760XS</t>
  </si>
  <si>
    <t>Server HPE Proliant DL380 Gen 11 + Smart TV</t>
  </si>
  <si>
    <t>Router Catalyst 8200-UCPE Egde Series</t>
  </si>
  <si>
    <t>1100000620</t>
  </si>
  <si>
    <t>0</t>
  </si>
  <si>
    <t>Bangunan</t>
  </si>
  <si>
    <t>Bangunan Gudang A2 (Gudang AN)</t>
  </si>
  <si>
    <t>Gudang A2</t>
  </si>
  <si>
    <t>Smartboard 98 inch UAPIC-AG98PRO-H + Bracket</t>
  </si>
  <si>
    <t>Mikroskop Trinocular Polarization - AXIOLAB 5 POL</t>
  </si>
  <si>
    <t>Laboratorium</t>
  </si>
  <si>
    <t>2000000036</t>
  </si>
  <si>
    <t>2000000037</t>
  </si>
  <si>
    <t>2000000038</t>
  </si>
  <si>
    <t>Software VMWare</t>
  </si>
  <si>
    <t>License Windows</t>
  </si>
  <si>
    <t>License Veeam</t>
  </si>
  <si>
    <t>2000000044</t>
  </si>
  <si>
    <t>Manage Engine OPManager</t>
  </si>
  <si>
    <t>Workstation Dell Precision 5860 Tower XCTO Base</t>
  </si>
  <si>
    <t>Pabrik CE</t>
  </si>
  <si>
    <t>Microtrap VOD Meter</t>
  </si>
  <si>
    <t>Murung Raya</t>
  </si>
  <si>
    <t>SanddPIPER - WARREN RUPP</t>
  </si>
  <si>
    <t>1100000621</t>
  </si>
  <si>
    <t>Bangunan Laydown</t>
  </si>
  <si>
    <t>Workshop</t>
  </si>
  <si>
    <t>Server Dell PowerEdge R760xs</t>
  </si>
  <si>
    <t>1200000127</t>
  </si>
  <si>
    <t>Cubicle 20Kv Outgoing gardu 3</t>
  </si>
  <si>
    <t>Cubicle 20Kv Outgoing gardu 4</t>
  </si>
  <si>
    <t>Genset</t>
  </si>
  <si>
    <t>4000000104</t>
  </si>
  <si>
    <t>4000000110</t>
  </si>
  <si>
    <t>4000000115</t>
  </si>
  <si>
    <t>4000000118</t>
  </si>
  <si>
    <t>4000000119</t>
  </si>
  <si>
    <t>4000000120</t>
  </si>
  <si>
    <t>4000000121</t>
  </si>
  <si>
    <t>4000000123</t>
  </si>
  <si>
    <t>4000000124</t>
  </si>
  <si>
    <t>4000000132</t>
  </si>
  <si>
    <t>4000000134</t>
  </si>
  <si>
    <t>4000000142</t>
  </si>
  <si>
    <t>4000000144</t>
  </si>
  <si>
    <t>AUC</t>
  </si>
  <si>
    <t>Crushing Plant Kap.600 ton/jam</t>
  </si>
  <si>
    <t>OSP Maruwai Coal - Alat QC</t>
  </si>
  <si>
    <t>Instalasi Pengolahan Air Limbah</t>
  </si>
  <si>
    <t>OSP Job Site Maruwai</t>
  </si>
  <si>
    <t>Perbaikan Kantor Subang B</t>
  </si>
  <si>
    <t>Perbaikan Kantor Subang E</t>
  </si>
  <si>
    <t>Pagar keliling area kantor depan dan landscape</t>
  </si>
  <si>
    <t>Pembangunan Pabrik Electronic Detonator</t>
  </si>
  <si>
    <t>Perbaikan Fasilitas Bangunan Gudang Inbound Area 1</t>
  </si>
  <si>
    <t>Coffe Station</t>
  </si>
  <si>
    <t>Mobil Pemadam Kebakaran HINO RANGER 260 PS</t>
  </si>
  <si>
    <t>Alat Drilling &amp; Pre-loading Seismik</t>
  </si>
  <si>
    <t>Bangunan Area Miniplant NG</t>
  </si>
  <si>
    <t>2123</t>
  </si>
  <si>
    <t>2035</t>
  </si>
  <si>
    <t>1201</t>
  </si>
  <si>
    <t>EMC</t>
  </si>
  <si>
    <t>DMGM</t>
  </si>
  <si>
    <t>NG</t>
  </si>
  <si>
    <t>Buton Tengah</t>
  </si>
  <si>
    <t>Buton</t>
  </si>
  <si>
    <t>Maruwai</t>
  </si>
  <si>
    <t>Gedung B</t>
  </si>
  <si>
    <t>Gedung E</t>
  </si>
  <si>
    <t>Keliling</t>
  </si>
  <si>
    <t>Eldeto</t>
  </si>
  <si>
    <t xml:space="preserve">Gudang  </t>
  </si>
  <si>
    <t>Auditrum</t>
  </si>
  <si>
    <t>Damkar</t>
  </si>
  <si>
    <t>Periode 01 Januari 2026 - 30 Juni 2026</t>
  </si>
  <si>
    <t>Kajian Investasi</t>
  </si>
  <si>
    <t>Tanggal</t>
  </si>
  <si>
    <t>Perihal</t>
  </si>
  <si>
    <t>FS/038/IX/2025/CPX</t>
  </si>
  <si>
    <t>Kajian Investasi Peningkatan Infrastruktur DRC (Disaster Recovery Center</t>
  </si>
  <si>
    <t>FS/047/X/2025/CPX</t>
  </si>
  <si>
    <t>Kajian Investasi Pengadaan 1 Unit VOD, 1 Unit Micromate, dan 1 Unit Software Wipfrag</t>
  </si>
  <si>
    <t>FS/030/VII/2025/CPX</t>
  </si>
  <si>
    <t>Kajian Investasi Pengadaan 1 Unit VOD dan 2 Unit Micromate</t>
  </si>
  <si>
    <t>FS/010/III/2025/CPX</t>
  </si>
  <si>
    <t>Kajian Investasi Implementasi Aplikasi E-Manrisk</t>
  </si>
  <si>
    <t>FS/008/III/2025/CPX</t>
  </si>
  <si>
    <t>Kajian Investasi Pengadaan 1 Unit Drilling Machine untuk Site Project Indo Muro Kencana</t>
  </si>
  <si>
    <t>FS/017/V/2025/CPX</t>
  </si>
  <si>
    <t xml:space="preserve">Kajian Investasi Pengadaan 2 Set Remote Firing Device </t>
  </si>
  <si>
    <t>FS/012/IV/2025/CPX</t>
  </si>
  <si>
    <t>Kajian Investasi Pembangunan Gudang Handak Permanen di Subang</t>
  </si>
  <si>
    <t>FS/041/IX/2025/CPX</t>
  </si>
  <si>
    <t>Kajian Investasi Pengadaan &amp; Instalasi Stabilizer Olant CE 1&amp;2</t>
  </si>
  <si>
    <t>FS/027/VI/2025/CPX</t>
  </si>
  <si>
    <t>Kajian Investasi Implementasi Security Information &amp; Event Management (SIEM) dan Security Operation Center (SOC)</t>
  </si>
  <si>
    <t>Kajian Investasi Networking Management System</t>
  </si>
  <si>
    <t>FS/040/IX/2025/CPX</t>
  </si>
  <si>
    <t>Kajian Investasi Pengadaan Alat Mikroskop</t>
  </si>
  <si>
    <t>FS/042/IX/2025/CPX</t>
  </si>
  <si>
    <t xml:space="preserve">Kajian Investasi Pengadaan dan Instalasi 2 Unit Waste Pump Pabrik CE </t>
  </si>
  <si>
    <t>ND/015/II/2025/PPRP</t>
  </si>
  <si>
    <t>Kajian Investasi Pengadaan Tempat Penyimpanan Barang dan Alat Tidak Terpakai</t>
  </si>
  <si>
    <t>FS/015/V/2025/CPX</t>
  </si>
  <si>
    <t>Kajian Investasi Penggantian Cubicle Incoming &amp; Outgoing 20kV</t>
  </si>
  <si>
    <t>FS/016/IV/2025/CPX</t>
  </si>
  <si>
    <t>Kajian Investasi Pengadaan OSP dan 2 Unit Smart MMT untuk Project Maruwai Coal serta 1 Unit Smart MMT untuk Project Adaro Indonesia</t>
  </si>
  <si>
    <t>FS/034/VIII/2025/CPX</t>
  </si>
  <si>
    <t>Kajian Investasi Perbaikan Kantor Subang</t>
  </si>
  <si>
    <t>FS/053/X/2025/CPX</t>
  </si>
  <si>
    <t>Kajian Investasi Pekerjaan Pembangunan Pagar Keliling Area Depan Kantor Pusat dan Landscape Pintu Masuk Beton</t>
  </si>
  <si>
    <t>FS/031/VII/2025/CPX</t>
  </si>
  <si>
    <t>Kajian Investasi Pembangunan Pabrik Assembly Electronic Detonator</t>
  </si>
  <si>
    <t>Kajian Investasi Peningkatan dan Perbaikan Fasilitas Gudang Bahan Peledak di Pergudangan Inbound Area 1</t>
  </si>
  <si>
    <t>02-NDI/1801/040.041/II/2026</t>
  </si>
  <si>
    <t>Kajian Investasi Pembangunan Coffee Shop</t>
  </si>
  <si>
    <t>02-NDI/1023/040.041/XI/2025</t>
  </si>
  <si>
    <t>Kajian Investasi Pengadaan Mobil Pemadam Kebakaran</t>
  </si>
  <si>
    <t>FS/024/VI/2025/CPX</t>
  </si>
  <si>
    <t>Kajian Investasi Pembangunan Area Miniplant NG</t>
  </si>
  <si>
    <t>02-NDI/3195/040.041/III/2026</t>
  </si>
  <si>
    <t>Kajian Investasi Pengadaan Alat Drilling dan Pre-Loading Seismic Services</t>
  </si>
  <si>
    <t>FS/007/III/2025/CPX</t>
  </si>
  <si>
    <t>Kajian Investasi Perbaikan &amp; Relokasi Instalasi Pengolahan Air Limbah (IPAL) Kampus PT DAHANA</t>
  </si>
  <si>
    <t>ND/020/II/2025/PPRP</t>
  </si>
  <si>
    <t>Kajian Investasi Pengadaan 1 Set Crushing Plant Kapasitas 600 Ton per Jam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</si>
</sst>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vertical="top"/>
    </xf>
    <xf numFmtId="3" fontId="0" fillId="0" borderId="1" xfId="0" applyNumberFormat="1" applyBorder="1" applyAlignment="1">
      <alignment horizontal="right" vertical="top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 wrapText="1"/>
    </xf>
    <xf numFmtId="14" fontId="0" fillId="3" borderId="1" xfId="0" applyNumberFormat="1" applyFill="1" applyBorder="1" applyAlignment="1">
      <alignment horizontal="left" vertical="top" wrapText="1"/>
    </xf>
    <xf numFmtId="14" fontId="0" fillId="4" borderId="1" xfId="0" applyNumberFormat="1" applyFill="1" applyBorder="1" applyAlignment="1">
      <alignment horizontal="left" vertical="top" wrapText="1"/>
    </xf>
    <xf numFmtId="14" fontId="0" fillId="4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3" borderId="1" xfId="0" applyFill="1" applyBorder="1" applyAlignment="1">
      <alignment vertical="center"/>
    </xf>
    <xf numFmtId="3" fontId="0" fillId="3" borderId="1" xfId="0" applyNumberFormat="1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2" fillId="0" borderId="0" xfId="0" applyFont="1" applyAlignment="1">
      <alignment horizontal="center" vertical="top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</cellXfs>
  <cellStyles count="2">
    <cellStyle name="Comma [0] 2 2" xfId="1" xr:uid="{44B8E9BC-1771-490A-BC5C-E002FDB0689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4BD9C-6C83-455F-B78B-6D1BDDDC0B31}">
  <dimension ref="A1:S50"/>
  <sheetViews>
    <sheetView showGridLines="0" tabSelected="1" zoomScale="87" zoomScaleNormal="87" workbookViewId="0">
      <selection activeCell="D9" sqref="D9"/>
    </sheetView>
  </sheetViews>
  <sheetFormatPr baseColWidth="10" defaultColWidth="9.1640625" defaultRowHeight="15" x14ac:dyDescent="0.2"/>
  <cols>
    <col min="1" max="1" width="4.6640625" style="1" customWidth="1"/>
    <col min="2" max="2" width="27.1640625" style="1" bestFit="1" customWidth="1"/>
    <col min="3" max="3" width="11.6640625" style="1" customWidth="1"/>
    <col min="4" max="4" width="34.6640625" style="1" customWidth="1"/>
    <col min="5" max="5" width="11.33203125" style="1" bestFit="1" customWidth="1"/>
    <col min="6" max="6" width="10.6640625" style="1" bestFit="1" customWidth="1"/>
    <col min="7" max="7" width="13.5" style="6" customWidth="1"/>
    <col min="8" max="8" width="8.33203125" style="6" customWidth="1"/>
    <col min="9" max="9" width="19.5" style="6" customWidth="1"/>
    <col min="10" max="10" width="12.6640625" style="6" bestFit="1" customWidth="1"/>
    <col min="11" max="11" width="46" style="1" bestFit="1" customWidth="1"/>
    <col min="12" max="12" width="16.5" style="1" customWidth="1"/>
    <col min="13" max="13" width="13.83203125" style="1" customWidth="1"/>
    <col min="14" max="14" width="16.5" style="1" bestFit="1" customWidth="1"/>
    <col min="15" max="15" width="8.5" style="6" customWidth="1"/>
    <col min="16" max="16" width="8" style="6" customWidth="1"/>
    <col min="17" max="17" width="20.83203125" style="1" bestFit="1" customWidth="1"/>
    <col min="18" max="18" width="14.83203125" style="1" bestFit="1" customWidth="1"/>
    <col min="19" max="19" width="18.6640625" style="1" customWidth="1"/>
    <col min="20" max="20" width="11.33203125" style="1" bestFit="1" customWidth="1"/>
    <col min="21" max="21" width="13.83203125" style="1" customWidth="1"/>
    <col min="22" max="22" width="18.5" style="1" bestFit="1" customWidth="1"/>
    <col min="23" max="16384" width="9.1640625" style="1"/>
  </cols>
  <sheetData>
    <row r="1" spans="1:19" ht="18" x14ac:dyDescent="0.2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ht="18" x14ac:dyDescent="0.2">
      <c r="A2" s="29" t="s">
        <v>124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</row>
    <row r="4" spans="1:19" ht="15" customHeight="1" x14ac:dyDescent="0.2">
      <c r="A4" s="33" t="s">
        <v>1</v>
      </c>
      <c r="B4" s="30" t="s">
        <v>125</v>
      </c>
      <c r="C4" s="31"/>
      <c r="D4" s="32"/>
      <c r="E4" s="33" t="s">
        <v>38</v>
      </c>
      <c r="F4" s="33" t="s">
        <v>39</v>
      </c>
      <c r="G4" s="33" t="s">
        <v>48</v>
      </c>
      <c r="H4" s="35" t="s">
        <v>2</v>
      </c>
      <c r="I4" s="33" t="s">
        <v>14</v>
      </c>
      <c r="J4" s="37" t="s">
        <v>3</v>
      </c>
      <c r="K4" s="33" t="s">
        <v>4</v>
      </c>
      <c r="L4" s="33" t="s">
        <v>5</v>
      </c>
      <c r="M4" s="33" t="s">
        <v>6</v>
      </c>
      <c r="N4" s="33" t="s">
        <v>7</v>
      </c>
      <c r="O4" s="33" t="s">
        <v>8</v>
      </c>
      <c r="P4" s="39" t="s">
        <v>9</v>
      </c>
      <c r="Q4" s="40"/>
      <c r="R4" s="33" t="s">
        <v>10</v>
      </c>
      <c r="S4" s="43" t="s">
        <v>13</v>
      </c>
    </row>
    <row r="5" spans="1:19" ht="15" customHeight="1" x14ac:dyDescent="0.2">
      <c r="A5" s="34"/>
      <c r="B5" s="11" t="s">
        <v>1</v>
      </c>
      <c r="C5" s="11" t="s">
        <v>126</v>
      </c>
      <c r="D5" s="11" t="s">
        <v>127</v>
      </c>
      <c r="E5" s="34"/>
      <c r="F5" s="34"/>
      <c r="G5" s="34"/>
      <c r="H5" s="36"/>
      <c r="I5" s="34"/>
      <c r="J5" s="38"/>
      <c r="K5" s="34"/>
      <c r="L5" s="34"/>
      <c r="M5" s="34"/>
      <c r="N5" s="34"/>
      <c r="O5" s="34"/>
      <c r="P5" s="41"/>
      <c r="Q5" s="42"/>
      <c r="R5" s="34"/>
      <c r="S5" s="44"/>
    </row>
    <row r="6" spans="1:19" ht="30" customHeight="1" x14ac:dyDescent="0.2">
      <c r="A6" s="9">
        <v>1</v>
      </c>
      <c r="B6" s="16" t="s">
        <v>174</v>
      </c>
      <c r="C6" s="16">
        <v>45705</v>
      </c>
      <c r="D6" s="15" t="s">
        <v>175</v>
      </c>
      <c r="E6" s="10">
        <v>4800000663</v>
      </c>
      <c r="F6" s="16">
        <v>45792</v>
      </c>
      <c r="G6" s="10" t="s">
        <v>81</v>
      </c>
      <c r="H6" s="10">
        <v>0</v>
      </c>
      <c r="I6" s="10" t="s">
        <v>94</v>
      </c>
      <c r="J6" s="16">
        <v>45931</v>
      </c>
      <c r="K6" s="19" t="s">
        <v>95</v>
      </c>
      <c r="L6" s="20">
        <v>23347084404</v>
      </c>
      <c r="M6" s="20">
        <v>0</v>
      </c>
      <c r="N6" s="20">
        <v>23347084404</v>
      </c>
      <c r="O6" s="10" t="s">
        <v>11</v>
      </c>
      <c r="P6" s="10" t="s">
        <v>108</v>
      </c>
      <c r="Q6" s="21" t="s">
        <v>114</v>
      </c>
      <c r="R6" s="21" t="s">
        <v>115</v>
      </c>
      <c r="S6" s="19"/>
    </row>
    <row r="7" spans="1:19" ht="30" customHeight="1" x14ac:dyDescent="0.2">
      <c r="A7" s="9">
        <v>2</v>
      </c>
      <c r="B7" s="16" t="s">
        <v>172</v>
      </c>
      <c r="C7" s="16">
        <v>45728</v>
      </c>
      <c r="D7" s="15" t="s">
        <v>173</v>
      </c>
      <c r="E7" s="10">
        <v>4800000662</v>
      </c>
      <c r="F7" s="16">
        <v>45810</v>
      </c>
      <c r="G7" s="10" t="s">
        <v>83</v>
      </c>
      <c r="H7" s="10">
        <v>0</v>
      </c>
      <c r="I7" s="10" t="s">
        <v>94</v>
      </c>
      <c r="J7" s="16">
        <v>45962</v>
      </c>
      <c r="K7" s="19" t="s">
        <v>97</v>
      </c>
      <c r="L7" s="20">
        <v>189000000</v>
      </c>
      <c r="M7" s="20">
        <v>0</v>
      </c>
      <c r="N7" s="20">
        <v>189000000</v>
      </c>
      <c r="O7" s="10" t="s">
        <v>11</v>
      </c>
      <c r="P7" s="10" t="s">
        <v>25</v>
      </c>
      <c r="Q7" s="21" t="s">
        <v>12</v>
      </c>
      <c r="R7" s="21" t="s">
        <v>111</v>
      </c>
      <c r="S7" s="19"/>
    </row>
    <row r="8" spans="1:19" ht="30" customHeight="1" x14ac:dyDescent="0.2">
      <c r="A8" s="9">
        <v>3</v>
      </c>
      <c r="B8" s="16" t="s">
        <v>155</v>
      </c>
      <c r="C8" s="16">
        <v>45770</v>
      </c>
      <c r="D8" s="15" t="s">
        <v>156</v>
      </c>
      <c r="E8" s="10">
        <v>4800000680</v>
      </c>
      <c r="F8" s="16">
        <v>45889</v>
      </c>
      <c r="G8" s="10" t="s">
        <v>82</v>
      </c>
      <c r="H8" s="10">
        <v>0</v>
      </c>
      <c r="I8" s="10" t="s">
        <v>94</v>
      </c>
      <c r="J8" s="16">
        <v>46054</v>
      </c>
      <c r="K8" s="19" t="s">
        <v>96</v>
      </c>
      <c r="L8" s="20">
        <v>200000000</v>
      </c>
      <c r="M8" s="20">
        <v>0</v>
      </c>
      <c r="N8" s="20">
        <v>200000000</v>
      </c>
      <c r="O8" s="10" t="s">
        <v>11</v>
      </c>
      <c r="P8" s="10" t="s">
        <v>109</v>
      </c>
      <c r="Q8" s="21" t="s">
        <v>71</v>
      </c>
      <c r="R8" s="21" t="s">
        <v>116</v>
      </c>
      <c r="S8" s="19"/>
    </row>
    <row r="9" spans="1:19" ht="30" customHeight="1" x14ac:dyDescent="0.2">
      <c r="A9" s="9">
        <v>4</v>
      </c>
      <c r="B9" s="16" t="s">
        <v>155</v>
      </c>
      <c r="C9" s="16">
        <v>45770</v>
      </c>
      <c r="D9" s="15" t="s">
        <v>156</v>
      </c>
      <c r="E9" s="10">
        <v>4800000680</v>
      </c>
      <c r="F9" s="16">
        <v>45889</v>
      </c>
      <c r="G9" s="10" t="s">
        <v>84</v>
      </c>
      <c r="H9" s="10">
        <v>0</v>
      </c>
      <c r="I9" s="10" t="s">
        <v>94</v>
      </c>
      <c r="J9" s="16">
        <v>45962</v>
      </c>
      <c r="K9" s="19" t="s">
        <v>98</v>
      </c>
      <c r="L9" s="20">
        <v>10880000000</v>
      </c>
      <c r="M9" s="20">
        <v>0</v>
      </c>
      <c r="N9" s="20">
        <v>10880000000</v>
      </c>
      <c r="O9" s="10" t="s">
        <v>11</v>
      </c>
      <c r="P9" s="10" t="s">
        <v>109</v>
      </c>
      <c r="Q9" s="21" t="s">
        <v>71</v>
      </c>
      <c r="R9" s="21" t="s">
        <v>116</v>
      </c>
      <c r="S9" s="19"/>
    </row>
    <row r="10" spans="1:19" ht="30" customHeight="1" x14ac:dyDescent="0.2">
      <c r="A10" s="9">
        <v>5</v>
      </c>
      <c r="B10" s="16" t="s">
        <v>168</v>
      </c>
      <c r="C10" s="16">
        <v>45824</v>
      </c>
      <c r="D10" s="15" t="s">
        <v>169</v>
      </c>
      <c r="E10" s="10">
        <v>4800000764</v>
      </c>
      <c r="F10" s="16">
        <v>46055</v>
      </c>
      <c r="G10" s="10" t="s">
        <v>93</v>
      </c>
      <c r="H10" s="10">
        <v>0</v>
      </c>
      <c r="I10" s="10" t="s">
        <v>94</v>
      </c>
      <c r="J10" s="16">
        <v>46173</v>
      </c>
      <c r="K10" s="19" t="s">
        <v>107</v>
      </c>
      <c r="L10" s="20">
        <v>480911386</v>
      </c>
      <c r="M10" s="20">
        <v>0</v>
      </c>
      <c r="N10" s="20">
        <v>480911386</v>
      </c>
      <c r="O10" s="10" t="s">
        <v>11</v>
      </c>
      <c r="P10" s="10" t="s">
        <v>25</v>
      </c>
      <c r="Q10" s="21" t="s">
        <v>12</v>
      </c>
      <c r="R10" s="21" t="s">
        <v>113</v>
      </c>
      <c r="S10" s="19"/>
    </row>
    <row r="11" spans="1:19" ht="30" customHeight="1" x14ac:dyDescent="0.2">
      <c r="A11" s="9">
        <v>6</v>
      </c>
      <c r="B11" s="16" t="s">
        <v>161</v>
      </c>
      <c r="C11" s="16">
        <v>45881</v>
      </c>
      <c r="D11" s="15" t="s">
        <v>162</v>
      </c>
      <c r="E11" s="10">
        <v>4800000725</v>
      </c>
      <c r="F11" s="16">
        <v>45891</v>
      </c>
      <c r="G11" s="10" t="s">
        <v>88</v>
      </c>
      <c r="H11" s="10">
        <v>0</v>
      </c>
      <c r="I11" s="10" t="s">
        <v>94</v>
      </c>
      <c r="J11" s="16">
        <v>46023</v>
      </c>
      <c r="K11" s="19" t="s">
        <v>102</v>
      </c>
      <c r="L11" s="20">
        <v>1456278000</v>
      </c>
      <c r="M11" s="20">
        <v>0</v>
      </c>
      <c r="N11" s="20">
        <v>1456278000</v>
      </c>
      <c r="O11" s="10" t="s">
        <v>11</v>
      </c>
      <c r="P11" s="10" t="s">
        <v>25</v>
      </c>
      <c r="Q11" s="21" t="s">
        <v>12</v>
      </c>
      <c r="R11" s="21" t="s">
        <v>120</v>
      </c>
      <c r="S11" s="19"/>
    </row>
    <row r="12" spans="1:19" ht="30" customHeight="1" x14ac:dyDescent="0.2">
      <c r="A12" s="9">
        <v>7</v>
      </c>
      <c r="B12" s="16" t="s">
        <v>157</v>
      </c>
      <c r="C12" s="16">
        <v>45898</v>
      </c>
      <c r="D12" s="15" t="s">
        <v>158</v>
      </c>
      <c r="E12" s="10">
        <v>4800000716</v>
      </c>
      <c r="F12" s="16">
        <v>46010</v>
      </c>
      <c r="G12" s="10" t="s">
        <v>85</v>
      </c>
      <c r="H12" s="10">
        <v>0</v>
      </c>
      <c r="I12" s="10" t="s">
        <v>94</v>
      </c>
      <c r="J12" s="16">
        <v>46081</v>
      </c>
      <c r="K12" s="19" t="s">
        <v>99</v>
      </c>
      <c r="L12" s="20">
        <v>2856524712</v>
      </c>
      <c r="M12" s="20">
        <v>0</v>
      </c>
      <c r="N12" s="20">
        <v>2856524712</v>
      </c>
      <c r="O12" s="10" t="s">
        <v>11</v>
      </c>
      <c r="P12" s="10" t="s">
        <v>25</v>
      </c>
      <c r="Q12" s="21" t="s">
        <v>12</v>
      </c>
      <c r="R12" s="21" t="s">
        <v>117</v>
      </c>
      <c r="S12" s="19"/>
    </row>
    <row r="13" spans="1:19" ht="30" customHeight="1" x14ac:dyDescent="0.2">
      <c r="A13" s="9">
        <v>8</v>
      </c>
      <c r="B13" s="16" t="s">
        <v>157</v>
      </c>
      <c r="C13" s="16">
        <v>45898</v>
      </c>
      <c r="D13" s="15" t="s">
        <v>158</v>
      </c>
      <c r="E13" s="10">
        <v>4800000717</v>
      </c>
      <c r="F13" s="16">
        <v>46013</v>
      </c>
      <c r="G13" s="10" t="s">
        <v>86</v>
      </c>
      <c r="H13" s="10">
        <v>0</v>
      </c>
      <c r="I13" s="10" t="s">
        <v>94</v>
      </c>
      <c r="J13" s="16">
        <v>46081</v>
      </c>
      <c r="K13" s="19" t="s">
        <v>100</v>
      </c>
      <c r="L13" s="20">
        <v>4039400000</v>
      </c>
      <c r="M13" s="20">
        <v>0</v>
      </c>
      <c r="N13" s="20">
        <v>4039400000</v>
      </c>
      <c r="O13" s="10" t="s">
        <v>11</v>
      </c>
      <c r="P13" s="10" t="s">
        <v>25</v>
      </c>
      <c r="Q13" s="21" t="s">
        <v>12</v>
      </c>
      <c r="R13" s="21" t="s">
        <v>118</v>
      </c>
      <c r="S13" s="19"/>
    </row>
    <row r="14" spans="1:19" ht="30" customHeight="1" x14ac:dyDescent="0.2">
      <c r="A14" s="9">
        <v>9</v>
      </c>
      <c r="B14" s="16" t="s">
        <v>159</v>
      </c>
      <c r="C14" s="16">
        <v>45952</v>
      </c>
      <c r="D14" s="15" t="s">
        <v>160</v>
      </c>
      <c r="E14" s="10">
        <v>4800000740</v>
      </c>
      <c r="F14" s="16">
        <v>46013</v>
      </c>
      <c r="G14" s="10" t="s">
        <v>87</v>
      </c>
      <c r="H14" s="10">
        <v>0</v>
      </c>
      <c r="I14" s="10" t="s">
        <v>94</v>
      </c>
      <c r="J14" s="16">
        <v>46112</v>
      </c>
      <c r="K14" s="19" t="s">
        <v>101</v>
      </c>
      <c r="L14" s="20">
        <v>3381293144</v>
      </c>
      <c r="M14" s="20">
        <v>0</v>
      </c>
      <c r="N14" s="20">
        <v>3381293144</v>
      </c>
      <c r="O14" s="10" t="s">
        <v>11</v>
      </c>
      <c r="P14" s="10" t="s">
        <v>25</v>
      </c>
      <c r="Q14" s="21" t="s">
        <v>12</v>
      </c>
      <c r="R14" s="21" t="s">
        <v>119</v>
      </c>
      <c r="S14" s="19"/>
    </row>
    <row r="15" spans="1:19" ht="30" customHeight="1" x14ac:dyDescent="0.2">
      <c r="A15" s="9">
        <v>10</v>
      </c>
      <c r="B15" s="16" t="s">
        <v>166</v>
      </c>
      <c r="C15" s="16">
        <v>45973</v>
      </c>
      <c r="D15" s="15" t="s">
        <v>167</v>
      </c>
      <c r="E15" s="10">
        <v>4800000735</v>
      </c>
      <c r="F15" s="16">
        <v>46071</v>
      </c>
      <c r="G15" s="10" t="s">
        <v>91</v>
      </c>
      <c r="H15" s="10">
        <v>0</v>
      </c>
      <c r="I15" s="10" t="s">
        <v>94</v>
      </c>
      <c r="J15" s="16">
        <v>46142</v>
      </c>
      <c r="K15" s="19" t="s">
        <v>105</v>
      </c>
      <c r="L15" s="20">
        <v>1738632000</v>
      </c>
      <c r="M15" s="20">
        <v>0</v>
      </c>
      <c r="N15" s="20">
        <v>1738632000</v>
      </c>
      <c r="O15" s="10" t="s">
        <v>11</v>
      </c>
      <c r="P15" s="10" t="s">
        <v>25</v>
      </c>
      <c r="Q15" s="21" t="s">
        <v>12</v>
      </c>
      <c r="R15" s="21" t="s">
        <v>123</v>
      </c>
      <c r="S15" s="19"/>
    </row>
    <row r="16" spans="1:19" ht="30" customHeight="1" x14ac:dyDescent="0.2">
      <c r="A16" s="9">
        <v>11</v>
      </c>
      <c r="B16" s="16" t="s">
        <v>157</v>
      </c>
      <c r="C16" s="16">
        <v>45995</v>
      </c>
      <c r="D16" s="15" t="s">
        <v>163</v>
      </c>
      <c r="E16" s="10">
        <v>4800000733</v>
      </c>
      <c r="F16" s="16">
        <v>46044</v>
      </c>
      <c r="G16" s="10" t="s">
        <v>89</v>
      </c>
      <c r="H16" s="10">
        <v>0</v>
      </c>
      <c r="I16" s="10" t="s">
        <v>94</v>
      </c>
      <c r="J16" s="16">
        <v>46142</v>
      </c>
      <c r="K16" s="19" t="s">
        <v>103</v>
      </c>
      <c r="L16" s="20">
        <v>3256400000</v>
      </c>
      <c r="M16" s="20">
        <v>0</v>
      </c>
      <c r="N16" s="20">
        <v>3256400000</v>
      </c>
      <c r="O16" s="10" t="s">
        <v>11</v>
      </c>
      <c r="P16" s="10" t="s">
        <v>25</v>
      </c>
      <c r="Q16" s="21" t="s">
        <v>12</v>
      </c>
      <c r="R16" s="21" t="s">
        <v>121</v>
      </c>
      <c r="S16" s="19"/>
    </row>
    <row r="17" spans="1:19" ht="30" customHeight="1" x14ac:dyDescent="0.2">
      <c r="A17" s="9">
        <v>12</v>
      </c>
      <c r="B17" s="16" t="s">
        <v>164</v>
      </c>
      <c r="C17" s="16">
        <v>46064</v>
      </c>
      <c r="D17" s="15" t="s">
        <v>165</v>
      </c>
      <c r="E17" s="10">
        <v>4800000748</v>
      </c>
      <c r="F17" s="16">
        <v>46111</v>
      </c>
      <c r="G17" s="10" t="s">
        <v>90</v>
      </c>
      <c r="H17" s="10">
        <v>0</v>
      </c>
      <c r="I17" s="10" t="s">
        <v>94</v>
      </c>
      <c r="J17" s="16">
        <v>46173</v>
      </c>
      <c r="K17" s="19" t="s">
        <v>104</v>
      </c>
      <c r="L17" s="20">
        <v>200130000</v>
      </c>
      <c r="M17" s="20">
        <v>0</v>
      </c>
      <c r="N17" s="20">
        <v>200130000</v>
      </c>
      <c r="O17" s="10" t="s">
        <v>11</v>
      </c>
      <c r="P17" s="10" t="s">
        <v>25</v>
      </c>
      <c r="Q17" s="21" t="s">
        <v>12</v>
      </c>
      <c r="R17" s="21" t="s">
        <v>122</v>
      </c>
      <c r="S17" s="19"/>
    </row>
    <row r="18" spans="1:19" ht="30" customHeight="1" x14ac:dyDescent="0.2">
      <c r="A18" s="9">
        <v>13</v>
      </c>
      <c r="B18" s="16" t="s">
        <v>170</v>
      </c>
      <c r="C18" s="16">
        <v>46093</v>
      </c>
      <c r="D18" s="15" t="s">
        <v>171</v>
      </c>
      <c r="E18" s="10">
        <v>4800000765</v>
      </c>
      <c r="F18" s="16">
        <v>46162</v>
      </c>
      <c r="G18" s="10" t="s">
        <v>92</v>
      </c>
      <c r="H18" s="10">
        <v>0</v>
      </c>
      <c r="I18" s="10" t="s">
        <v>94</v>
      </c>
      <c r="J18" s="16">
        <v>46203</v>
      </c>
      <c r="K18" s="19" t="s">
        <v>106</v>
      </c>
      <c r="L18" s="20">
        <v>1143561880</v>
      </c>
      <c r="M18" s="20">
        <v>0</v>
      </c>
      <c r="N18" s="20">
        <v>1143561880</v>
      </c>
      <c r="O18" s="10" t="s">
        <v>11</v>
      </c>
      <c r="P18" s="10" t="s">
        <v>110</v>
      </c>
      <c r="Q18" s="21" t="s">
        <v>46</v>
      </c>
      <c r="R18" s="21" t="s">
        <v>112</v>
      </c>
      <c r="S18" s="19"/>
    </row>
    <row r="19" spans="1:19" ht="30" customHeight="1" x14ac:dyDescent="0.2">
      <c r="A19" s="9">
        <v>14</v>
      </c>
      <c r="B19" s="17" t="s">
        <v>130</v>
      </c>
      <c r="C19" s="17">
        <v>45945</v>
      </c>
      <c r="D19" s="13" t="s">
        <v>131</v>
      </c>
      <c r="E19" s="9">
        <v>4800000707</v>
      </c>
      <c r="F19" s="17">
        <v>45981</v>
      </c>
      <c r="G19" s="9" t="s">
        <v>20</v>
      </c>
      <c r="H19" s="9">
        <v>0</v>
      </c>
      <c r="I19" s="9" t="s">
        <v>16</v>
      </c>
      <c r="J19" s="17">
        <v>46023</v>
      </c>
      <c r="K19" s="22" t="s">
        <v>21</v>
      </c>
      <c r="L19" s="23">
        <v>250000000</v>
      </c>
      <c r="M19" s="23">
        <v>-50000000</v>
      </c>
      <c r="N19" s="23">
        <v>200000000</v>
      </c>
      <c r="O19" s="9" t="s">
        <v>11</v>
      </c>
      <c r="P19" s="9">
        <v>2035</v>
      </c>
      <c r="Q19" s="24" t="s">
        <v>23</v>
      </c>
      <c r="R19" s="24" t="s">
        <v>22</v>
      </c>
      <c r="S19" s="24"/>
    </row>
    <row r="20" spans="1:19" ht="30" customHeight="1" x14ac:dyDescent="0.2">
      <c r="A20" s="9">
        <v>15</v>
      </c>
      <c r="B20" s="17" t="s">
        <v>132</v>
      </c>
      <c r="C20" s="17">
        <v>45859</v>
      </c>
      <c r="D20" s="13" t="s">
        <v>133</v>
      </c>
      <c r="E20" s="9">
        <v>4800000711</v>
      </c>
      <c r="F20" s="17">
        <v>45986</v>
      </c>
      <c r="G20" s="9">
        <v>1700001145</v>
      </c>
      <c r="H20" s="9">
        <v>0</v>
      </c>
      <c r="I20" s="9" t="s">
        <v>16</v>
      </c>
      <c r="J20" s="17">
        <v>46023</v>
      </c>
      <c r="K20" s="22" t="s">
        <v>33</v>
      </c>
      <c r="L20" s="23">
        <v>318500000</v>
      </c>
      <c r="M20" s="23">
        <v>-31850000</v>
      </c>
      <c r="N20" s="23">
        <v>286650000</v>
      </c>
      <c r="O20" s="9" t="s">
        <v>11</v>
      </c>
      <c r="P20" s="9">
        <v>2032</v>
      </c>
      <c r="Q20" s="24" t="s">
        <v>32</v>
      </c>
      <c r="R20" s="24" t="s">
        <v>31</v>
      </c>
      <c r="S20" s="24"/>
    </row>
    <row r="21" spans="1:19" ht="30" customHeight="1" x14ac:dyDescent="0.2">
      <c r="A21" s="9">
        <v>16</v>
      </c>
      <c r="B21" s="17" t="s">
        <v>132</v>
      </c>
      <c r="C21" s="17">
        <v>45859</v>
      </c>
      <c r="D21" s="13" t="s">
        <v>133</v>
      </c>
      <c r="E21" s="9">
        <v>4800000711</v>
      </c>
      <c r="F21" s="17">
        <v>45986</v>
      </c>
      <c r="G21" s="9">
        <v>1700001146</v>
      </c>
      <c r="H21" s="9">
        <v>0</v>
      </c>
      <c r="I21" s="9" t="s">
        <v>16</v>
      </c>
      <c r="J21" s="17">
        <v>46023</v>
      </c>
      <c r="K21" s="22" t="s">
        <v>33</v>
      </c>
      <c r="L21" s="23">
        <v>318500000</v>
      </c>
      <c r="M21" s="23">
        <v>-31850000</v>
      </c>
      <c r="N21" s="23">
        <v>286650000</v>
      </c>
      <c r="O21" s="9" t="s">
        <v>11</v>
      </c>
      <c r="P21" s="9">
        <v>2032</v>
      </c>
      <c r="Q21" s="24" t="s">
        <v>32</v>
      </c>
      <c r="R21" s="24" t="s">
        <v>31</v>
      </c>
      <c r="S21" s="24"/>
    </row>
    <row r="22" spans="1:19" ht="30" customHeight="1" x14ac:dyDescent="0.2">
      <c r="A22" s="9">
        <v>17</v>
      </c>
      <c r="B22" s="17" t="s">
        <v>134</v>
      </c>
      <c r="C22" s="17">
        <v>45740</v>
      </c>
      <c r="D22" s="13" t="s">
        <v>135</v>
      </c>
      <c r="E22" s="9">
        <v>4800000724</v>
      </c>
      <c r="F22" s="17">
        <v>45811</v>
      </c>
      <c r="G22" s="9" t="s">
        <v>27</v>
      </c>
      <c r="H22" s="9">
        <v>0</v>
      </c>
      <c r="I22" s="9" t="s">
        <v>17</v>
      </c>
      <c r="J22" s="17">
        <v>46023</v>
      </c>
      <c r="K22" s="22" t="s">
        <v>29</v>
      </c>
      <c r="L22" s="23">
        <v>363636000</v>
      </c>
      <c r="M22" s="23">
        <v>-90909000</v>
      </c>
      <c r="N22" s="23">
        <v>272727000</v>
      </c>
      <c r="O22" s="9" t="s">
        <v>11</v>
      </c>
      <c r="P22" s="9" t="s">
        <v>25</v>
      </c>
      <c r="Q22" s="24" t="s">
        <v>12</v>
      </c>
      <c r="R22" s="24" t="s">
        <v>30</v>
      </c>
      <c r="S22" s="24"/>
    </row>
    <row r="23" spans="1:19" ht="30" customHeight="1" x14ac:dyDescent="0.2">
      <c r="A23" s="9">
        <v>18</v>
      </c>
      <c r="B23" s="17" t="s">
        <v>128</v>
      </c>
      <c r="C23" s="17">
        <v>45915</v>
      </c>
      <c r="D23" s="12" t="s">
        <v>129</v>
      </c>
      <c r="E23" s="9">
        <v>4800000704</v>
      </c>
      <c r="F23" s="17">
        <v>45979</v>
      </c>
      <c r="G23" s="9" t="s">
        <v>24</v>
      </c>
      <c r="H23" s="9">
        <v>0</v>
      </c>
      <c r="I23" s="9" t="s">
        <v>15</v>
      </c>
      <c r="J23" s="17">
        <v>46043</v>
      </c>
      <c r="K23" s="22" t="s">
        <v>19</v>
      </c>
      <c r="L23" s="23">
        <v>157100000</v>
      </c>
      <c r="M23" s="23">
        <v>-31420000</v>
      </c>
      <c r="N23" s="23">
        <v>125680000</v>
      </c>
      <c r="O23" s="9" t="s">
        <v>11</v>
      </c>
      <c r="P23" s="9" t="s">
        <v>25</v>
      </c>
      <c r="Q23" s="24" t="s">
        <v>12</v>
      </c>
      <c r="R23" s="24" t="s">
        <v>18</v>
      </c>
      <c r="S23" s="24"/>
    </row>
    <row r="24" spans="1:19" ht="30" customHeight="1" x14ac:dyDescent="0.2">
      <c r="A24" s="9">
        <v>19</v>
      </c>
      <c r="B24" s="17" t="s">
        <v>128</v>
      </c>
      <c r="C24" s="17">
        <v>45915</v>
      </c>
      <c r="D24" s="13" t="s">
        <v>129</v>
      </c>
      <c r="E24" s="9">
        <v>4800000704</v>
      </c>
      <c r="F24" s="17">
        <v>45979</v>
      </c>
      <c r="G24" s="9" t="s">
        <v>26</v>
      </c>
      <c r="H24" s="9">
        <v>0</v>
      </c>
      <c r="I24" s="9" t="s">
        <v>17</v>
      </c>
      <c r="J24" s="17">
        <v>46043</v>
      </c>
      <c r="K24" s="22" t="s">
        <v>28</v>
      </c>
      <c r="L24" s="23">
        <v>28500000</v>
      </c>
      <c r="M24" s="23">
        <v>-7125000</v>
      </c>
      <c r="N24" s="23">
        <v>21375000</v>
      </c>
      <c r="O24" s="9" t="s">
        <v>11</v>
      </c>
      <c r="P24" s="9" t="s">
        <v>25</v>
      </c>
      <c r="Q24" s="24" t="s">
        <v>12</v>
      </c>
      <c r="R24" s="24" t="s">
        <v>18</v>
      </c>
      <c r="S24" s="24"/>
    </row>
    <row r="25" spans="1:19" ht="30" customHeight="1" x14ac:dyDescent="0.2">
      <c r="A25" s="9">
        <v>20</v>
      </c>
      <c r="B25" s="17" t="s">
        <v>136</v>
      </c>
      <c r="C25" s="17">
        <v>45734</v>
      </c>
      <c r="D25" s="13" t="s">
        <v>137</v>
      </c>
      <c r="E25" s="9">
        <v>4800000720</v>
      </c>
      <c r="F25" s="17">
        <v>45959</v>
      </c>
      <c r="G25" s="9" t="s">
        <v>34</v>
      </c>
      <c r="H25" s="9">
        <v>0</v>
      </c>
      <c r="I25" s="9" t="s">
        <v>35</v>
      </c>
      <c r="J25" s="17">
        <v>46082</v>
      </c>
      <c r="K25" s="22" t="s">
        <v>36</v>
      </c>
      <c r="L25" s="23">
        <v>6800000000</v>
      </c>
      <c r="M25" s="23">
        <v>-70833333</v>
      </c>
      <c r="N25" s="23">
        <v>6729166667</v>
      </c>
      <c r="O25" s="9" t="s">
        <v>11</v>
      </c>
      <c r="P25" s="9">
        <v>2032</v>
      </c>
      <c r="Q25" s="24" t="s">
        <v>32</v>
      </c>
      <c r="R25" s="24" t="s">
        <v>37</v>
      </c>
      <c r="S25" s="24"/>
    </row>
    <row r="26" spans="1:19" ht="30" customHeight="1" x14ac:dyDescent="0.2">
      <c r="A26" s="9">
        <v>21</v>
      </c>
      <c r="B26" s="17" t="s">
        <v>138</v>
      </c>
      <c r="C26" s="17">
        <v>45779</v>
      </c>
      <c r="D26" s="13" t="s">
        <v>139</v>
      </c>
      <c r="E26" s="9">
        <v>4800000703</v>
      </c>
      <c r="F26" s="17">
        <v>45849</v>
      </c>
      <c r="G26" s="9">
        <v>1700001138</v>
      </c>
      <c r="H26" s="9">
        <v>0</v>
      </c>
      <c r="I26" s="9" t="s">
        <v>16</v>
      </c>
      <c r="J26" s="17">
        <v>46082</v>
      </c>
      <c r="K26" s="22" t="s">
        <v>44</v>
      </c>
      <c r="L26" s="23">
        <v>93581950</v>
      </c>
      <c r="M26" s="23">
        <v>-15596992</v>
      </c>
      <c r="N26" s="23">
        <v>77984958</v>
      </c>
      <c r="O26" s="9" t="s">
        <v>11</v>
      </c>
      <c r="P26" s="9">
        <v>1201</v>
      </c>
      <c r="Q26" s="24" t="s">
        <v>46</v>
      </c>
      <c r="R26" s="24" t="s">
        <v>47</v>
      </c>
      <c r="S26" s="24"/>
    </row>
    <row r="27" spans="1:19" ht="30" customHeight="1" x14ac:dyDescent="0.2">
      <c r="A27" s="9">
        <v>22</v>
      </c>
      <c r="B27" s="17" t="s">
        <v>138</v>
      </c>
      <c r="C27" s="17">
        <v>45779</v>
      </c>
      <c r="D27" s="13" t="s">
        <v>139</v>
      </c>
      <c r="E27" s="9">
        <v>4800000703</v>
      </c>
      <c r="F27" s="17">
        <v>45849</v>
      </c>
      <c r="G27" s="9">
        <v>1700001139</v>
      </c>
      <c r="H27" s="9">
        <v>0</v>
      </c>
      <c r="I27" s="9" t="s">
        <v>16</v>
      </c>
      <c r="J27" s="17">
        <v>46082</v>
      </c>
      <c r="K27" s="22" t="s">
        <v>45</v>
      </c>
      <c r="L27" s="23">
        <v>83258560</v>
      </c>
      <c r="M27" s="23">
        <v>-13876427</v>
      </c>
      <c r="N27" s="23">
        <v>69382133</v>
      </c>
      <c r="O27" s="9" t="s">
        <v>11</v>
      </c>
      <c r="P27" s="9">
        <v>1201</v>
      </c>
      <c r="Q27" s="24" t="s">
        <v>46</v>
      </c>
      <c r="R27" s="24" t="s">
        <v>47</v>
      </c>
      <c r="S27" s="24"/>
    </row>
    <row r="28" spans="1:19" ht="30" customHeight="1" x14ac:dyDescent="0.2">
      <c r="A28" s="9">
        <v>23</v>
      </c>
      <c r="B28" s="17" t="s">
        <v>138</v>
      </c>
      <c r="C28" s="17">
        <v>45779</v>
      </c>
      <c r="D28" s="13" t="s">
        <v>139</v>
      </c>
      <c r="E28" s="9">
        <v>4800000703</v>
      </c>
      <c r="F28" s="17">
        <v>45849</v>
      </c>
      <c r="G28" s="9">
        <v>1700001140</v>
      </c>
      <c r="H28" s="9">
        <v>0</v>
      </c>
      <c r="I28" s="9" t="s">
        <v>16</v>
      </c>
      <c r="J28" s="17">
        <v>46082</v>
      </c>
      <c r="K28" s="22" t="s">
        <v>45</v>
      </c>
      <c r="L28" s="23">
        <v>83258560</v>
      </c>
      <c r="M28" s="23">
        <v>-13876427</v>
      </c>
      <c r="N28" s="23">
        <v>69382133</v>
      </c>
      <c r="O28" s="9" t="s">
        <v>11</v>
      </c>
      <c r="P28" s="9">
        <v>1201</v>
      </c>
      <c r="Q28" s="24" t="s">
        <v>46</v>
      </c>
      <c r="R28" s="24" t="s">
        <v>47</v>
      </c>
      <c r="S28" s="24"/>
    </row>
    <row r="29" spans="1:19" ht="30" customHeight="1" x14ac:dyDescent="0.2">
      <c r="A29" s="9">
        <v>24</v>
      </c>
      <c r="B29" s="17" t="s">
        <v>140</v>
      </c>
      <c r="C29" s="17">
        <v>45761</v>
      </c>
      <c r="D29" s="13" t="s">
        <v>141</v>
      </c>
      <c r="E29" s="9">
        <v>4800000713</v>
      </c>
      <c r="F29" s="17">
        <v>45874</v>
      </c>
      <c r="G29" s="9" t="s">
        <v>52</v>
      </c>
      <c r="H29" s="9" t="s">
        <v>53</v>
      </c>
      <c r="I29" s="9" t="s">
        <v>54</v>
      </c>
      <c r="J29" s="17">
        <v>46113</v>
      </c>
      <c r="K29" s="22" t="s">
        <v>55</v>
      </c>
      <c r="L29" s="23">
        <v>13100000000</v>
      </c>
      <c r="M29" s="23">
        <v>-54583333</v>
      </c>
      <c r="N29" s="23">
        <v>13045416667</v>
      </c>
      <c r="O29" s="9" t="s">
        <v>11</v>
      </c>
      <c r="P29" s="9" t="s">
        <v>25</v>
      </c>
      <c r="Q29" s="24" t="s">
        <v>12</v>
      </c>
      <c r="R29" s="24" t="s">
        <v>56</v>
      </c>
      <c r="S29" s="24"/>
    </row>
    <row r="30" spans="1:19" ht="30" customHeight="1" x14ac:dyDescent="0.2">
      <c r="A30" s="9">
        <v>25</v>
      </c>
      <c r="B30" s="17" t="s">
        <v>142</v>
      </c>
      <c r="C30" s="17">
        <v>45930</v>
      </c>
      <c r="D30" s="13" t="s">
        <v>143</v>
      </c>
      <c r="E30" s="9">
        <v>4800000714</v>
      </c>
      <c r="F30" s="17">
        <v>46007</v>
      </c>
      <c r="G30" s="9">
        <v>1200000130</v>
      </c>
      <c r="H30" s="9">
        <v>0</v>
      </c>
      <c r="I30" s="9" t="s">
        <v>41</v>
      </c>
      <c r="J30" s="17">
        <v>46113</v>
      </c>
      <c r="K30" s="22" t="s">
        <v>40</v>
      </c>
      <c r="L30" s="23">
        <v>210443000</v>
      </c>
      <c r="M30" s="23">
        <v>-31556450</v>
      </c>
      <c r="N30" s="23">
        <v>178876550</v>
      </c>
      <c r="O30" s="9" t="s">
        <v>11</v>
      </c>
      <c r="P30" s="9" t="s">
        <v>25</v>
      </c>
      <c r="Q30" s="24" t="s">
        <v>12</v>
      </c>
      <c r="R30" s="24" t="s">
        <v>42</v>
      </c>
      <c r="S30" s="24"/>
    </row>
    <row r="31" spans="1:19" ht="30" customHeight="1" x14ac:dyDescent="0.2">
      <c r="A31" s="9">
        <v>26</v>
      </c>
      <c r="B31" s="17" t="s">
        <v>142</v>
      </c>
      <c r="C31" s="17">
        <v>45930</v>
      </c>
      <c r="D31" s="13" t="s">
        <v>143</v>
      </c>
      <c r="E31" s="9">
        <v>4800000714</v>
      </c>
      <c r="F31" s="17">
        <v>46007</v>
      </c>
      <c r="G31" s="9">
        <v>1200000131</v>
      </c>
      <c r="H31" s="9">
        <v>0</v>
      </c>
      <c r="I31" s="9" t="s">
        <v>41</v>
      </c>
      <c r="J31" s="17">
        <v>46113</v>
      </c>
      <c r="K31" s="22" t="s">
        <v>40</v>
      </c>
      <c r="L31" s="23">
        <v>284138000</v>
      </c>
      <c r="M31" s="23">
        <v>-42620700</v>
      </c>
      <c r="N31" s="23">
        <v>241517300</v>
      </c>
      <c r="O31" s="9" t="s">
        <v>11</v>
      </c>
      <c r="P31" s="9" t="s">
        <v>25</v>
      </c>
      <c r="Q31" s="24" t="s">
        <v>12</v>
      </c>
      <c r="R31" s="24" t="s">
        <v>43</v>
      </c>
      <c r="S31" s="24"/>
    </row>
    <row r="32" spans="1:19" ht="30" customHeight="1" x14ac:dyDescent="0.2">
      <c r="A32" s="9">
        <v>27</v>
      </c>
      <c r="B32" s="17" t="s">
        <v>144</v>
      </c>
      <c r="C32" s="17">
        <v>45827</v>
      </c>
      <c r="D32" s="13" t="s">
        <v>145</v>
      </c>
      <c r="E32" s="9">
        <v>4800000678</v>
      </c>
      <c r="F32" s="17">
        <v>45880</v>
      </c>
      <c r="G32" s="9">
        <v>1300000168</v>
      </c>
      <c r="H32" s="9">
        <v>0</v>
      </c>
      <c r="I32" s="9" t="s">
        <v>15</v>
      </c>
      <c r="J32" s="17">
        <v>46142</v>
      </c>
      <c r="K32" s="22" t="s">
        <v>49</v>
      </c>
      <c r="L32" s="23">
        <v>161460000</v>
      </c>
      <c r="M32" s="23">
        <v>24219000</v>
      </c>
      <c r="N32" s="23">
        <v>137241000</v>
      </c>
      <c r="O32" s="9" t="s">
        <v>11</v>
      </c>
      <c r="P32" s="9" t="s">
        <v>25</v>
      </c>
      <c r="Q32" s="24" t="s">
        <v>12</v>
      </c>
      <c r="R32" s="24" t="s">
        <v>18</v>
      </c>
      <c r="S32" s="24"/>
    </row>
    <row r="33" spans="1:19" ht="30" customHeight="1" x14ac:dyDescent="0.2">
      <c r="A33" s="9">
        <v>28</v>
      </c>
      <c r="B33" s="17" t="s">
        <v>144</v>
      </c>
      <c r="C33" s="17">
        <v>45827</v>
      </c>
      <c r="D33" s="13" t="s">
        <v>145</v>
      </c>
      <c r="E33" s="9">
        <v>4800000678</v>
      </c>
      <c r="F33" s="17">
        <v>45880</v>
      </c>
      <c r="G33" s="9">
        <v>1300000169</v>
      </c>
      <c r="H33" s="9">
        <v>0</v>
      </c>
      <c r="I33" s="9" t="s">
        <v>15</v>
      </c>
      <c r="J33" s="17">
        <v>46142</v>
      </c>
      <c r="K33" s="22" t="s">
        <v>50</v>
      </c>
      <c r="L33" s="23">
        <v>118524000</v>
      </c>
      <c r="M33" s="23">
        <v>17778600</v>
      </c>
      <c r="N33" s="23">
        <v>100746400</v>
      </c>
      <c r="O33" s="9" t="s">
        <v>11</v>
      </c>
      <c r="P33" s="9" t="s">
        <v>25</v>
      </c>
      <c r="Q33" s="24" t="s">
        <v>12</v>
      </c>
      <c r="R33" s="24" t="s">
        <v>18</v>
      </c>
      <c r="S33" s="24"/>
    </row>
    <row r="34" spans="1:19" ht="30" customHeight="1" x14ac:dyDescent="0.2">
      <c r="A34" s="9">
        <v>29</v>
      </c>
      <c r="B34" s="17" t="s">
        <v>144</v>
      </c>
      <c r="C34" s="17">
        <v>45827</v>
      </c>
      <c r="D34" s="13" t="s">
        <v>145</v>
      </c>
      <c r="E34" s="9">
        <v>4800000678</v>
      </c>
      <c r="F34" s="17">
        <v>45880</v>
      </c>
      <c r="G34" s="9">
        <v>1300000170</v>
      </c>
      <c r="H34" s="9">
        <v>0</v>
      </c>
      <c r="I34" s="9" t="s">
        <v>15</v>
      </c>
      <c r="J34" s="17">
        <v>46142</v>
      </c>
      <c r="K34" s="22" t="s">
        <v>51</v>
      </c>
      <c r="L34" s="23">
        <v>141115000</v>
      </c>
      <c r="M34" s="23">
        <v>21167250</v>
      </c>
      <c r="N34" s="23">
        <v>119947750</v>
      </c>
      <c r="O34" s="9" t="s">
        <v>11</v>
      </c>
      <c r="P34" s="9" t="s">
        <v>25</v>
      </c>
      <c r="Q34" s="24" t="s">
        <v>12</v>
      </c>
      <c r="R34" s="24" t="s">
        <v>18</v>
      </c>
      <c r="S34" s="24"/>
    </row>
    <row r="35" spans="1:19" ht="30" customHeight="1" x14ac:dyDescent="0.2">
      <c r="A35" s="9">
        <v>30</v>
      </c>
      <c r="B35" s="17" t="s">
        <v>130</v>
      </c>
      <c r="C35" s="17">
        <v>45938</v>
      </c>
      <c r="D35" s="13" t="s">
        <v>146</v>
      </c>
      <c r="E35" s="9">
        <v>4800000708</v>
      </c>
      <c r="F35" s="17">
        <v>45982</v>
      </c>
      <c r="G35" s="9">
        <v>1700001143</v>
      </c>
      <c r="H35" s="9">
        <v>0</v>
      </c>
      <c r="I35" s="9" t="s">
        <v>16</v>
      </c>
      <c r="J35" s="17">
        <v>46142</v>
      </c>
      <c r="K35" s="22" t="s">
        <v>57</v>
      </c>
      <c r="L35" s="23">
        <v>242874768</v>
      </c>
      <c r="M35" s="23">
        <v>-4047913</v>
      </c>
      <c r="N35" s="23">
        <v>238826855</v>
      </c>
      <c r="O35" s="9" t="s">
        <v>11</v>
      </c>
      <c r="P35" s="9">
        <v>1102</v>
      </c>
      <c r="Q35" s="24" t="s">
        <v>12</v>
      </c>
      <c r="R35" s="24" t="s">
        <v>18</v>
      </c>
      <c r="S35" s="24"/>
    </row>
    <row r="36" spans="1:19" ht="30" customHeight="1" x14ac:dyDescent="0.2">
      <c r="A36" s="9">
        <v>31</v>
      </c>
      <c r="B36" s="17" t="s">
        <v>147</v>
      </c>
      <c r="C36" s="17">
        <v>45926</v>
      </c>
      <c r="D36" s="13" t="s">
        <v>148</v>
      </c>
      <c r="E36" s="9">
        <v>4800000715</v>
      </c>
      <c r="F36" s="17">
        <v>46013</v>
      </c>
      <c r="G36" s="9">
        <v>1700001147</v>
      </c>
      <c r="H36" s="9">
        <v>0</v>
      </c>
      <c r="I36" s="9" t="s">
        <v>16</v>
      </c>
      <c r="J36" s="17">
        <v>46142</v>
      </c>
      <c r="K36" s="22" t="s">
        <v>58</v>
      </c>
      <c r="L36" s="23">
        <v>351630000</v>
      </c>
      <c r="M36" s="23">
        <v>-5860500</v>
      </c>
      <c r="N36" s="23">
        <v>345769500</v>
      </c>
      <c r="O36" s="9" t="s">
        <v>11</v>
      </c>
      <c r="P36" s="9">
        <v>1102</v>
      </c>
      <c r="Q36" s="22" t="s">
        <v>12</v>
      </c>
      <c r="R36" s="22" t="s">
        <v>59</v>
      </c>
      <c r="S36" s="25"/>
    </row>
    <row r="37" spans="1:19" ht="30" customHeight="1" x14ac:dyDescent="0.2">
      <c r="A37" s="9">
        <v>32</v>
      </c>
      <c r="B37" s="17" t="s">
        <v>144</v>
      </c>
      <c r="C37" s="17">
        <v>45827</v>
      </c>
      <c r="D37" s="13" t="s">
        <v>145</v>
      </c>
      <c r="E37" s="9">
        <v>4800000678</v>
      </c>
      <c r="F37" s="17">
        <v>45880</v>
      </c>
      <c r="G37" s="9" t="s">
        <v>60</v>
      </c>
      <c r="H37" s="9" t="s">
        <v>53</v>
      </c>
      <c r="I37" s="9" t="s">
        <v>17</v>
      </c>
      <c r="J37" s="17">
        <v>46142</v>
      </c>
      <c r="K37" s="24" t="s">
        <v>63</v>
      </c>
      <c r="L37" s="23">
        <v>312336000</v>
      </c>
      <c r="M37" s="23">
        <v>-6507000</v>
      </c>
      <c r="N37" s="23">
        <v>305829000</v>
      </c>
      <c r="O37" s="9" t="s">
        <v>11</v>
      </c>
      <c r="P37" s="9">
        <v>1102</v>
      </c>
      <c r="Q37" s="22" t="s">
        <v>12</v>
      </c>
      <c r="R37" s="24" t="s">
        <v>18</v>
      </c>
      <c r="S37" s="24"/>
    </row>
    <row r="38" spans="1:19" ht="30" customHeight="1" x14ac:dyDescent="0.2">
      <c r="A38" s="9">
        <v>33</v>
      </c>
      <c r="B38" s="17" t="s">
        <v>144</v>
      </c>
      <c r="C38" s="17">
        <v>45827</v>
      </c>
      <c r="D38" s="13" t="s">
        <v>145</v>
      </c>
      <c r="E38" s="9">
        <v>4800000678</v>
      </c>
      <c r="F38" s="17">
        <v>45880</v>
      </c>
      <c r="G38" s="9" t="s">
        <v>61</v>
      </c>
      <c r="H38" s="9" t="s">
        <v>53</v>
      </c>
      <c r="I38" s="9" t="s">
        <v>17</v>
      </c>
      <c r="J38" s="17">
        <v>46142</v>
      </c>
      <c r="K38" s="24" t="s">
        <v>64</v>
      </c>
      <c r="L38" s="23">
        <v>38115000</v>
      </c>
      <c r="M38" s="23">
        <v>-794063</v>
      </c>
      <c r="N38" s="23">
        <v>37320937</v>
      </c>
      <c r="O38" s="9" t="s">
        <v>11</v>
      </c>
      <c r="P38" s="9">
        <v>1102</v>
      </c>
      <c r="Q38" s="22" t="s">
        <v>12</v>
      </c>
      <c r="R38" s="24" t="s">
        <v>18</v>
      </c>
      <c r="S38" s="24"/>
    </row>
    <row r="39" spans="1:19" ht="30" customHeight="1" x14ac:dyDescent="0.2">
      <c r="A39" s="9">
        <v>34</v>
      </c>
      <c r="B39" s="17" t="s">
        <v>144</v>
      </c>
      <c r="C39" s="17">
        <v>45827</v>
      </c>
      <c r="D39" s="13" t="s">
        <v>145</v>
      </c>
      <c r="E39" s="9">
        <v>4800000678</v>
      </c>
      <c r="F39" s="17">
        <v>45880</v>
      </c>
      <c r="G39" s="9" t="s">
        <v>62</v>
      </c>
      <c r="H39" s="9" t="s">
        <v>53</v>
      </c>
      <c r="I39" s="9" t="s">
        <v>17</v>
      </c>
      <c r="J39" s="17">
        <v>46142</v>
      </c>
      <c r="K39" s="24" t="s">
        <v>65</v>
      </c>
      <c r="L39" s="23">
        <v>47210000</v>
      </c>
      <c r="M39" s="23">
        <v>-983542</v>
      </c>
      <c r="N39" s="23">
        <v>46226458</v>
      </c>
      <c r="O39" s="9" t="s">
        <v>11</v>
      </c>
      <c r="P39" s="9">
        <v>1102</v>
      </c>
      <c r="Q39" s="22" t="s">
        <v>12</v>
      </c>
      <c r="R39" s="24" t="s">
        <v>18</v>
      </c>
      <c r="S39" s="24"/>
    </row>
    <row r="40" spans="1:19" ht="30" customHeight="1" x14ac:dyDescent="0.2">
      <c r="A40" s="9">
        <v>35</v>
      </c>
      <c r="B40" s="17" t="s">
        <v>130</v>
      </c>
      <c r="C40" s="17">
        <v>45938</v>
      </c>
      <c r="D40" s="13" t="s">
        <v>146</v>
      </c>
      <c r="E40" s="9">
        <v>4800000708</v>
      </c>
      <c r="F40" s="17">
        <v>45982</v>
      </c>
      <c r="G40" s="9" t="s">
        <v>66</v>
      </c>
      <c r="H40" s="9" t="s">
        <v>53</v>
      </c>
      <c r="I40" s="9" t="s">
        <v>17</v>
      </c>
      <c r="J40" s="17">
        <v>46142</v>
      </c>
      <c r="K40" s="24" t="s">
        <v>67</v>
      </c>
      <c r="L40" s="23">
        <v>141240000</v>
      </c>
      <c r="M40" s="23">
        <v>-2942500</v>
      </c>
      <c r="N40" s="23">
        <v>138297500</v>
      </c>
      <c r="O40" s="9" t="s">
        <v>11</v>
      </c>
      <c r="P40" s="9">
        <v>1102</v>
      </c>
      <c r="Q40" s="22" t="s">
        <v>12</v>
      </c>
      <c r="R40" s="24" t="s">
        <v>18</v>
      </c>
      <c r="S40" s="24"/>
    </row>
    <row r="41" spans="1:19" ht="30" customHeight="1" x14ac:dyDescent="0.2">
      <c r="A41" s="9">
        <v>36</v>
      </c>
      <c r="B41" s="17" t="s">
        <v>130</v>
      </c>
      <c r="C41" s="17">
        <v>45938</v>
      </c>
      <c r="D41" s="13" t="s">
        <v>146</v>
      </c>
      <c r="E41" s="9">
        <v>4800000708</v>
      </c>
      <c r="F41" s="17">
        <v>45982</v>
      </c>
      <c r="G41" s="9">
        <v>1300000177</v>
      </c>
      <c r="H41" s="9" t="s">
        <v>53</v>
      </c>
      <c r="I41" s="9" t="s">
        <v>15</v>
      </c>
      <c r="J41" s="17">
        <v>46142</v>
      </c>
      <c r="K41" s="24" t="s">
        <v>68</v>
      </c>
      <c r="L41" s="23">
        <v>72758400</v>
      </c>
      <c r="M41" s="23">
        <v>-10913760</v>
      </c>
      <c r="N41" s="23">
        <v>61844640</v>
      </c>
      <c r="O41" s="9" t="s">
        <v>11</v>
      </c>
      <c r="P41" s="9">
        <v>1102</v>
      </c>
      <c r="Q41" s="22" t="s">
        <v>12</v>
      </c>
      <c r="R41" s="24" t="s">
        <v>18</v>
      </c>
      <c r="S41" s="24"/>
    </row>
    <row r="42" spans="1:19" ht="30" customHeight="1" x14ac:dyDescent="0.2">
      <c r="A42" s="9">
        <v>37</v>
      </c>
      <c r="B42" s="17" t="s">
        <v>130</v>
      </c>
      <c r="C42" s="17">
        <v>45938</v>
      </c>
      <c r="D42" s="13" t="s">
        <v>146</v>
      </c>
      <c r="E42" s="9">
        <v>4800000708</v>
      </c>
      <c r="F42" s="17">
        <v>45982</v>
      </c>
      <c r="G42" s="9">
        <v>1300000141</v>
      </c>
      <c r="H42" s="9">
        <v>0</v>
      </c>
      <c r="I42" s="9" t="s">
        <v>15</v>
      </c>
      <c r="J42" s="17">
        <v>46142</v>
      </c>
      <c r="K42" s="24" t="s">
        <v>76</v>
      </c>
      <c r="L42" s="23">
        <v>355080000</v>
      </c>
      <c r="M42" s="23">
        <v>-11836000</v>
      </c>
      <c r="N42" s="23">
        <f>L42+M42</f>
        <v>343244000</v>
      </c>
      <c r="O42" s="9" t="s">
        <v>11</v>
      </c>
      <c r="P42" s="9">
        <v>1102</v>
      </c>
      <c r="Q42" s="22" t="s">
        <v>12</v>
      </c>
      <c r="R42" s="24" t="s">
        <v>18</v>
      </c>
      <c r="S42" s="24"/>
    </row>
    <row r="43" spans="1:19" ht="30" customHeight="1" x14ac:dyDescent="0.2">
      <c r="A43" s="9">
        <v>38</v>
      </c>
      <c r="B43" s="17" t="s">
        <v>149</v>
      </c>
      <c r="C43" s="17">
        <v>45930</v>
      </c>
      <c r="D43" s="13" t="s">
        <v>150</v>
      </c>
      <c r="E43" s="9">
        <v>4800000706</v>
      </c>
      <c r="F43" s="17">
        <v>45981</v>
      </c>
      <c r="G43" s="9">
        <v>1500000348</v>
      </c>
      <c r="H43" s="9">
        <v>0</v>
      </c>
      <c r="I43" s="9" t="s">
        <v>35</v>
      </c>
      <c r="J43" s="17">
        <v>46143</v>
      </c>
      <c r="K43" s="24" t="s">
        <v>72</v>
      </c>
      <c r="L43" s="23">
        <v>54000000</v>
      </c>
      <c r="M43" s="23">
        <v>-4500000</v>
      </c>
      <c r="N43" s="23">
        <v>49500000</v>
      </c>
      <c r="O43" s="9" t="s">
        <v>11</v>
      </c>
      <c r="P43" s="9">
        <v>1102</v>
      </c>
      <c r="Q43" s="22" t="s">
        <v>12</v>
      </c>
      <c r="R43" s="24" t="s">
        <v>69</v>
      </c>
      <c r="S43" s="24"/>
    </row>
    <row r="44" spans="1:19" ht="30" customHeight="1" x14ac:dyDescent="0.2">
      <c r="A44" s="9">
        <v>39</v>
      </c>
      <c r="B44" s="17" t="s">
        <v>149</v>
      </c>
      <c r="C44" s="17">
        <v>45930</v>
      </c>
      <c r="D44" s="13" t="s">
        <v>150</v>
      </c>
      <c r="E44" s="9">
        <v>4800000706</v>
      </c>
      <c r="F44" s="17">
        <v>45981</v>
      </c>
      <c r="G44" s="9">
        <v>1500000349</v>
      </c>
      <c r="H44" s="9">
        <v>0</v>
      </c>
      <c r="I44" s="9" t="s">
        <v>35</v>
      </c>
      <c r="J44" s="17">
        <v>46143</v>
      </c>
      <c r="K44" s="24" t="s">
        <v>72</v>
      </c>
      <c r="L44" s="23">
        <v>54000000</v>
      </c>
      <c r="M44" s="23">
        <v>-4500000</v>
      </c>
      <c r="N44" s="23">
        <v>49500000</v>
      </c>
      <c r="O44" s="9" t="s">
        <v>11</v>
      </c>
      <c r="P44" s="9">
        <v>1102</v>
      </c>
      <c r="Q44" s="22" t="s">
        <v>12</v>
      </c>
      <c r="R44" s="24" t="s">
        <v>69</v>
      </c>
      <c r="S44" s="24"/>
    </row>
    <row r="45" spans="1:19" ht="30" customHeight="1" x14ac:dyDescent="0.2">
      <c r="A45" s="9">
        <v>40</v>
      </c>
      <c r="B45" s="17" t="s">
        <v>130</v>
      </c>
      <c r="C45" s="17">
        <v>45945</v>
      </c>
      <c r="D45" s="13" t="s">
        <v>131</v>
      </c>
      <c r="E45" s="9">
        <v>4800000719</v>
      </c>
      <c r="F45" s="17">
        <v>46015</v>
      </c>
      <c r="G45" s="9">
        <v>1700001148</v>
      </c>
      <c r="H45" s="9">
        <v>0</v>
      </c>
      <c r="I45" s="9" t="s">
        <v>16</v>
      </c>
      <c r="J45" s="17">
        <v>46143</v>
      </c>
      <c r="K45" s="24" t="s">
        <v>70</v>
      </c>
      <c r="L45" s="23">
        <v>297463600</v>
      </c>
      <c r="M45" s="23">
        <v>-39661813</v>
      </c>
      <c r="N45" s="23">
        <v>257801787</v>
      </c>
      <c r="O45" s="9" t="s">
        <v>11</v>
      </c>
      <c r="P45" s="9">
        <v>2035</v>
      </c>
      <c r="Q45" s="22" t="s">
        <v>71</v>
      </c>
      <c r="R45" s="24" t="s">
        <v>22</v>
      </c>
      <c r="S45" s="24"/>
    </row>
    <row r="46" spans="1:19" ht="30" customHeight="1" x14ac:dyDescent="0.2">
      <c r="A46" s="9">
        <v>41</v>
      </c>
      <c r="B46" s="17" t="s">
        <v>151</v>
      </c>
      <c r="C46" s="17">
        <v>45693</v>
      </c>
      <c r="D46" s="13" t="s">
        <v>152</v>
      </c>
      <c r="E46" s="9">
        <v>4800000701</v>
      </c>
      <c r="F46" s="17">
        <v>45929</v>
      </c>
      <c r="G46" s="9" t="s">
        <v>73</v>
      </c>
      <c r="H46" s="9">
        <v>0</v>
      </c>
      <c r="I46" s="9" t="s">
        <v>54</v>
      </c>
      <c r="J46" s="17">
        <v>46143</v>
      </c>
      <c r="K46" s="24" t="s">
        <v>74</v>
      </c>
      <c r="L46" s="23">
        <v>1638000000</v>
      </c>
      <c r="M46" s="23">
        <v>-6825000</v>
      </c>
      <c r="N46" s="23">
        <v>1631175000</v>
      </c>
      <c r="O46" s="9" t="s">
        <v>11</v>
      </c>
      <c r="P46" s="9" t="s">
        <v>25</v>
      </c>
      <c r="Q46" s="22" t="s">
        <v>75</v>
      </c>
      <c r="R46" s="24" t="s">
        <v>75</v>
      </c>
      <c r="S46" s="24"/>
    </row>
    <row r="47" spans="1:19" ht="30" customHeight="1" x14ac:dyDescent="0.2">
      <c r="A47" s="9">
        <v>42</v>
      </c>
      <c r="B47" s="18" t="s">
        <v>153</v>
      </c>
      <c r="C47" s="18">
        <v>45779</v>
      </c>
      <c r="D47" s="14" t="s">
        <v>154</v>
      </c>
      <c r="E47" s="8">
        <v>4800000660</v>
      </c>
      <c r="F47" s="18">
        <v>45810</v>
      </c>
      <c r="G47" s="8" t="s">
        <v>77</v>
      </c>
      <c r="H47" s="8">
        <v>0</v>
      </c>
      <c r="I47" s="8" t="s">
        <v>41</v>
      </c>
      <c r="J47" s="18">
        <v>46183</v>
      </c>
      <c r="K47" s="26" t="s">
        <v>78</v>
      </c>
      <c r="L47" s="27">
        <v>134950500</v>
      </c>
      <c r="M47" s="27">
        <v>-29239275</v>
      </c>
      <c r="N47" s="27">
        <v>105711225</v>
      </c>
      <c r="O47" s="8" t="s">
        <v>11</v>
      </c>
      <c r="P47" s="8" t="s">
        <v>25</v>
      </c>
      <c r="Q47" s="28" t="s">
        <v>12</v>
      </c>
      <c r="R47" s="28" t="s">
        <v>80</v>
      </c>
      <c r="S47" s="26"/>
    </row>
    <row r="48" spans="1:19" ht="30" customHeight="1" x14ac:dyDescent="0.2">
      <c r="A48" s="9">
        <v>43</v>
      </c>
      <c r="B48" s="18" t="s">
        <v>153</v>
      </c>
      <c r="C48" s="18">
        <v>45779</v>
      </c>
      <c r="D48" s="14" t="s">
        <v>154</v>
      </c>
      <c r="E48" s="8">
        <v>4800000660</v>
      </c>
      <c r="F48" s="18">
        <v>45810</v>
      </c>
      <c r="G48" s="8">
        <v>1200000128</v>
      </c>
      <c r="H48" s="8">
        <v>0</v>
      </c>
      <c r="I48" s="8" t="s">
        <v>41</v>
      </c>
      <c r="J48" s="18">
        <v>46183</v>
      </c>
      <c r="K48" s="26" t="s">
        <v>79</v>
      </c>
      <c r="L48" s="27">
        <v>134950500</v>
      </c>
      <c r="M48" s="27">
        <v>-29239275</v>
      </c>
      <c r="N48" s="27">
        <v>105711225</v>
      </c>
      <c r="O48" s="8" t="s">
        <v>11</v>
      </c>
      <c r="P48" s="8" t="s">
        <v>25</v>
      </c>
      <c r="Q48" s="28" t="s">
        <v>12</v>
      </c>
      <c r="R48" s="28" t="s">
        <v>80</v>
      </c>
      <c r="S48" s="26"/>
    </row>
    <row r="49" spans="1:19" x14ac:dyDescent="0.2">
      <c r="A49" s="9"/>
      <c r="B49" s="17"/>
      <c r="C49" s="17"/>
      <c r="D49" s="3"/>
      <c r="E49" s="3"/>
      <c r="F49" s="3"/>
      <c r="G49" s="2"/>
      <c r="H49" s="2"/>
      <c r="I49" s="2"/>
      <c r="J49" s="3"/>
      <c r="K49" s="4"/>
      <c r="L49" s="5"/>
      <c r="M49" s="5"/>
      <c r="N49" s="5"/>
      <c r="O49" s="2"/>
      <c r="P49" s="9"/>
      <c r="Q49" s="7"/>
      <c r="R49" s="7"/>
      <c r="S49" s="4"/>
    </row>
    <row r="50" spans="1:19" x14ac:dyDescent="0.2">
      <c r="A50" s="9"/>
      <c r="B50" s="17"/>
      <c r="C50" s="17"/>
      <c r="D50" s="3"/>
      <c r="E50" s="3"/>
      <c r="F50" s="3"/>
      <c r="G50" s="2"/>
      <c r="H50" s="2"/>
      <c r="I50" s="2"/>
      <c r="J50" s="3"/>
      <c r="K50" s="4"/>
      <c r="L50" s="5">
        <f>SUM(L6:L49)</f>
        <v>79555839364</v>
      </c>
      <c r="M50" s="5">
        <f t="shared" ref="M50:N50" si="0">SUM(M6:M49)</f>
        <v>-580783453</v>
      </c>
      <c r="N50" s="5">
        <f t="shared" si="0"/>
        <v>78848717211</v>
      </c>
      <c r="O50" s="2"/>
      <c r="P50" s="9"/>
      <c r="Q50" s="7"/>
      <c r="R50" s="4"/>
      <c r="S50" s="4"/>
    </row>
  </sheetData>
  <sortState xmlns:xlrd2="http://schemas.microsoft.com/office/spreadsheetml/2017/richdata2" ref="B19:R46">
    <sortCondition ref="J19:J46"/>
  </sortState>
  <mergeCells count="18">
    <mergeCell ref="R4:R5"/>
    <mergeCell ref="S4:S5"/>
    <mergeCell ref="A2:S2"/>
    <mergeCell ref="A1:S1"/>
    <mergeCell ref="B4:D4"/>
    <mergeCell ref="A4:A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P4:Q5"/>
    <mergeCell ref="O4:O5"/>
  </mergeCells>
  <phoneticPr fontId="3" type="noConversion"/>
  <printOptions horizontalCentered="1"/>
  <pageMargins left="0.11811023622047245" right="0.31496062992125984" top="0.74803149606299213" bottom="0.74803149606299213" header="0.31496062992125984" footer="0.31496062992125984"/>
  <pageSetup paperSize="8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PC-DEKANANTA</dc:creator>
  <cp:lastModifiedBy>Naufal Akramziyad</cp:lastModifiedBy>
  <cp:lastPrinted>2025-08-27T03:05:13Z</cp:lastPrinted>
  <dcterms:created xsi:type="dcterms:W3CDTF">2025-05-05T06:32:51Z</dcterms:created>
  <dcterms:modified xsi:type="dcterms:W3CDTF">2026-07-02T03:59:41Z</dcterms:modified>
</cp:coreProperties>
</file>